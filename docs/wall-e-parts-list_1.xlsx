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Servo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<sst xmlns="http://schemas.openxmlformats.org/spreadsheetml/2006/main" count="136" uniqueCount="105">
  <si>
    <t xml:space="preserve">Item</t>
  </si>
  <si>
    <t xml:space="preserve">Category</t>
  </si>
  <si>
    <t xml:space="preserve">Qty</t>
  </si>
  <si>
    <t xml:space="preserve">Unit Price</t>
  </si>
  <si>
    <t xml:space="preserve">Line Total</t>
  </si>
  <si>
    <t xml:space="preserve">Status</t>
  </si>
  <si>
    <t xml:space="preserve">What it's for</t>
  </si>
  <si>
    <t xml:space="preserve">Notes</t>
  </si>
  <si>
    <t xml:space="preserve">Link</t>
  </si>
  <si>
    <t xml:space="preserve">Raspberry Pi Pico (pre-soldered header, Waveshare kit)</t>
  </si>
  <si>
    <t xml:space="preserve">Brain</t>
  </si>
  <si>
    <t xml:space="preserve">In cart</t>
  </si>
  <si>
    <t xml:space="preserve">The microcontroller that runs the Python. Reads the buttons/pot and tells the servos where to go.</t>
  </si>
  <si>
    <t xml:space="preserve">Original RP2040 Pico, no wifi. Kit includes the Micro-USB cable. Runs CircuitPython — plug in, edit code.py, save, it reruns.</t>
  </si>
  <si>
    <t xml:space="preserve">https://www.amazon.com/gp/product/B0912M3T1H</t>
  </si>
  <si>
    <t xml:space="preserve">Waveshare Servo Driver for Pico (16-ch)</t>
  </si>
  <si>
    <t xml:space="preserve">Plug-in board the Pico sits on. Gives every servo its own 3-pin header and a screw terminal for battery power.</t>
  </si>
  <si>
    <t xml:space="preserve">GPIO-controlled (not I2C), so the simple pwmio code works. Onboard 5V/3A regulator — battery goes to VIN (6–12V). Replaces the need for a separate UBEC.</t>
  </si>
  <si>
    <t xml:space="preserve">https://www.amazon.com/gp/product/B0F1FKQ1WY</t>
  </si>
  <si>
    <t xml:space="preserve">MG996R standard servo (4-pack)</t>
  </si>
  <si>
    <t xml:space="preserve">Motion</t>
  </si>
  <si>
    <t xml:space="preserve">Moves the two head halves (binocular effect). Big metal-gear servo, ~10 kg·cm torque.</t>
  </si>
  <si>
    <t xml:space="preserve">Need 2, one spare + one extra. Use for belly door too if it ends up large.</t>
  </si>
  <si>
    <t xml:space="preserve">https://www.amazon.com/gp/product/B0BYD9M1P3</t>
  </si>
  <si>
    <t xml:space="preserve">MG90S micro servo (10-pack)</t>
  </si>
  <si>
    <t xml:space="preserve">Eyebrows (2), wipers (2), belly door (1). Small metal-gear servo, ~2 kg·cm.</t>
  </si>
  <si>
    <t xml:space="preserve">Need 5; the rest are spares for stripped gears during prototyping.</t>
  </si>
  <si>
    <t xml:space="preserve">https://www.amazon.com/gp/product/B0BWJ26PX2</t>
  </si>
  <si>
    <t xml:space="preserve">Servo extension cables, 1 m (10-pack)</t>
  </si>
  <si>
    <t xml:space="preserve">Wiring</t>
  </si>
  <si>
    <t xml:space="preserve">Reach from the servo board (in the body) up to the servos in the head.</t>
  </si>
  <si>
    <t xml:space="preserve">1 m is longer than needed — coil the slack and zip-tie it.</t>
  </si>
  <si>
    <t xml:space="preserve">https://www.amazon.com/gp/product/B01HLUZQ3M</t>
  </si>
  <si>
    <t xml:space="preserve">Momentary push buttons, 7 mm prewired (12-pack)</t>
  </si>
  <si>
    <t xml:space="preserve">Controls</t>
  </si>
  <si>
    <t xml:space="preserve">Eyebrow control: hold to raise, release to drop.</t>
  </si>
  <si>
    <t xml:space="preserve">Need 1. Wire between a GPIO pin and GND; code uses the internal pull-up. Upgrade to a 30 mm arcade button later if he wants a chunkier feel.</t>
  </si>
  <si>
    <t xml:space="preserve">https://www.amazon.com/gp/product/B083JWJPW5</t>
  </si>
  <si>
    <t xml:space="preserve">SPST toggle switches, waterproof boot (4-pack)</t>
  </si>
  <si>
    <t xml:space="preserve">On/off for wipers (1) and belly door (1).</t>
  </si>
  <si>
    <t xml:space="preserve">Need 2. Overspec'd (30A) but chunky with screw terminals — easy for a kid to wire. Wire between GPIO and GND.</t>
  </si>
  <si>
    <t xml:space="preserve">https://www.amazon.com/gp/product/B0FDFYYC1X</t>
  </si>
  <si>
    <t xml:space="preserve">10K linear potentiometer WH148 B10K (3-pack)</t>
  </si>
  <si>
    <t xml:space="preserve">Knob that steers the head halves in opposite directions (binocular effect).</t>
  </si>
  <si>
    <t xml:space="preserve">Need 1. Outer pins to 3.3V and GND on the Pico (NOT 5V), wiper to GP26/27/28. Snip the XH2.54 plug and tin the wires.</t>
  </si>
  <si>
    <t xml:space="preserve">https://www.amazon.com/gp/product/B082FCRQS2</t>
  </si>
  <si>
    <t xml:space="preserve">Electrolytic capacitor assortment (0.1–1000 µF)</t>
  </si>
  <si>
    <t xml:space="preserve">Power</t>
  </si>
  <si>
    <t xml:space="preserve">One 1000 µF cap across the 5V servo rail so the Pico doesn't reboot when big servos move.</t>
  </si>
  <si>
    <t xml:space="preserve">Only need one cap from the kit; the rest is stock for future projects. Watch polarity — stripe = negative.</t>
  </si>
  <si>
    <t xml:space="preserve">https://www.amazon.com/gp/product/B07PBQXQNQ</t>
  </si>
  <si>
    <t xml:space="preserve">Female T-plug (Deans) pigtail</t>
  </si>
  <si>
    <t xml:space="preserve">To buy</t>
  </si>
  <si>
    <t xml:space="preserve">Connects the RC battery pack to the servo board's VIN screw terminal.</t>
  </si>
  <si>
    <t xml:space="preserve">Or harvest one from the RC bin. Female side = sockets. Check polarity against the pack before plugging in. Price is an estimate.</t>
  </si>
  <si>
    <t xml:space="preserve">7.2V 6-cell NiMH RC pack (T-plug)</t>
  </si>
  <si>
    <t xml:space="preserve">Owned</t>
  </si>
  <si>
    <t xml:space="preserve">Powers everything. Goes into the servo board's VIN terminal; the board makes 5V for servos and Pico.</t>
  </si>
  <si>
    <t xml:space="preserve">6.6–8.4V is inside the board's 6–12V range. Unplug the pack to turn the costume off.</t>
  </si>
  <si>
    <t xml:space="preserve">Breadboard + jumper wires</t>
  </si>
  <si>
    <t xml:space="preserve">Bench prototyping for the switch and pot inputs.</t>
  </si>
  <si>
    <t xml:space="preserve">Only the 5 inputs need it; servos plug straight into the driver board.</t>
  </si>
  <si>
    <t xml:space="preserve">Hookup wire, heat shrink, soldering iron</t>
  </si>
  <si>
    <t xml:space="preserve">Extending switch leads to the controller box; soldering the T-plug pigtail.</t>
  </si>
  <si>
    <t xml:space="preserve">Pushrod wire, zip ties, hot glue, mounting scraps</t>
  </si>
  <si>
    <t xml:space="preserve">Mechanical</t>
  </si>
  <si>
    <t xml:space="preserve">Linking servo horns to cardboard parts; rigid mounts for the MG996Rs.</t>
  </si>
  <si>
    <t xml:space="preserve">Coat hanger or 1.5 mm music wire for pushrods. Mount the head servos to plywood/foam-core, not bare cardboard.</t>
  </si>
  <si>
    <t xml:space="preserve">Still to buy</t>
  </si>
  <si>
    <t xml:space="preserve">Total spend</t>
  </si>
  <si>
    <t xml:space="preserve">Prices are from the Amazon cart on 2026-09-30; T-plug pigtail price is an estimate. Owned items are $0.</t>
  </si>
  <si>
    <t xml:space="preserve">Function</t>
  </si>
  <si>
    <t xml:space="preserve">Control</t>
  </si>
  <si>
    <t xml:space="preserve">Behavior in code</t>
  </si>
  <si>
    <t xml:space="preserve">Servo</t>
  </si>
  <si>
    <t xml:space="preserve">Why this servo</t>
  </si>
  <si>
    <t xml:space="preserve">Head half – left</t>
  </si>
  <si>
    <t xml:space="preserve">Potentiometer (shared)</t>
  </si>
  <si>
    <t xml:space="preserve">Map pot 0–65535 → angle; ease toward target each loop</t>
  </si>
  <si>
    <t xml:space="preserve">MG996R</t>
  </si>
  <si>
    <t xml:space="preserve">Carries cardboard + eye + 2 micro servos, cantilevered off the pivot. Needs headroom.</t>
  </si>
  <si>
    <t xml:space="preserve">Head half – right</t>
  </si>
  <si>
    <t xml:space="preserve">Same pot, drive to 180 − angle for the binocular effect</t>
  </si>
  <si>
    <t xml:space="preserve">Same as left.</t>
  </si>
  <si>
    <t xml:space="preserve">Eyebrow – left</t>
  </si>
  <si>
    <t xml:space="preserve">Momentary button (shared)</t>
  </si>
  <si>
    <t xml:space="preserve">Button held → up angle; released → down angle</t>
  </si>
  <si>
    <t xml:space="preserve">MG90S</t>
  </si>
  <si>
    <t xml:space="preserve">Light load; metal gears survive being grabbed.</t>
  </si>
  <si>
    <t xml:space="preserve">Eyebrow – right</t>
  </si>
  <si>
    <t xml:space="preserve">Same</t>
  </si>
  <si>
    <t xml:space="preserve">Same.</t>
  </si>
  <si>
    <t xml:space="preserve">Wiper – left</t>
  </si>
  <si>
    <t xml:space="preserve">Toggle switch (shared)</t>
  </si>
  <si>
    <t xml:space="preserve">While on: sweep back and forth on a timer (non-blocking)</t>
  </si>
  <si>
    <t xml:space="preserve">Lightest load on the costume.</t>
  </si>
  <si>
    <t xml:space="preserve">Wiper – right</t>
  </si>
  <si>
    <t xml:space="preserve">Belly door</t>
  </si>
  <si>
    <t xml:space="preserve">Toggle switch</t>
  </si>
  <si>
    <t xml:space="preserve">On → open angle; off → closed angle</t>
  </si>
  <si>
    <t xml:space="preserve">A bottom-hinged cardboard flap is ~0.5 kg·cm; MG90S has 4× margin. Use an MG996R if the door gets big.</t>
  </si>
  <si>
    <t xml:space="preserve">MG996R needed</t>
  </si>
  <si>
    <t xml:space="preserve">MG90S needed</t>
  </si>
  <si>
    <t xml:space="preserve">Total servos</t>
  </si>
  <si>
    <t xml:space="preserve">Power note: the servo board's 5V regulator is 3A. Servos only pull big current while moving, so average draw is fine. If the Pico resets when head + door move together, the 1000 µF cap on the servo rail is the fix; failing that, stagger motions in code.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</si>
</sst>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gp/product/B0912M3T1H" TargetMode="External"/><Relationship Id="rId2" Type="http://schemas.openxmlformats.org/officeDocument/2006/relationships/hyperlink" Target="https://www.amazon.com/gp/product/B0F1FKQ1WY" TargetMode="External"/><Relationship Id="rId3" Type="http://schemas.openxmlformats.org/officeDocument/2006/relationships/hyperlink" Target="https://www.amazon.com/gp/product/B0BYD9M1P3" TargetMode="External"/><Relationship Id="rId4" Type="http://schemas.openxmlformats.org/officeDocument/2006/relationships/hyperlink" Target="https://www.amazon.com/gp/product/B0BWJ26PX2" TargetMode="External"/><Relationship Id="rId5" Type="http://schemas.openxmlformats.org/officeDocument/2006/relationships/hyperlink" Target="https://www.amazon.com/gp/product/B01HLUZQ3M" TargetMode="External"/><Relationship Id="rId6" Type="http://schemas.openxmlformats.org/officeDocument/2006/relationships/hyperlink" Target="https://www.amazon.com/gp/product/B083JWJPW5" TargetMode="External"/><Relationship Id="rId7" Type="http://schemas.openxmlformats.org/officeDocument/2006/relationships/hyperlink" Target="https://www.amazon.com/gp/product/B0FDFYYC1X" TargetMode="External"/><Relationship Id="rId8" Type="http://schemas.openxmlformats.org/officeDocument/2006/relationships/hyperlink" Target="https://www.amazon.com/gp/product/B082FCRQS2" TargetMode="External"/><Relationship Id="rId9" Type="http://schemas.openxmlformats.org/officeDocument/2006/relationships/hyperlink" Target="https://www.amazon.com/gp/product/B07PBQXQN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6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n">
        <v>1</v>
      </c>
      <c r="D2" s="3" t="n">
        <v>11.39</v>
      </c>
      <c r="E2" s="3" t="n">
        <f aca="false">C2*D2</f>
        <v>11.39</v>
      </c>
      <c r="F2" s="4" t="s">
        <v>11</v>
      </c>
      <c r="G2" s="2" t="s">
        <v>12</v>
      </c>
      <c r="H2" s="2" t="s">
        <v>13</v>
      </c>
      <c r="I2" s="5" t="s">
        <v>14</v>
      </c>
    </row>
    <row r="3" customFormat="false" ht="35.05" hidden="false" customHeight="false" outlineLevel="0" collapsed="false">
      <c r="A3" s="2" t="s">
        <v>15</v>
      </c>
      <c r="B3" s="2" t="s">
        <v>10</v>
      </c>
      <c r="C3" s="2" t="n">
        <v>1</v>
      </c>
      <c r="D3" s="3" t="n">
        <v>16.31</v>
      </c>
      <c r="E3" s="3" t="n">
        <f aca="false">C3*D3</f>
        <v>16.31</v>
      </c>
      <c r="F3" s="4" t="s">
        <v>11</v>
      </c>
      <c r="G3" s="2" t="s">
        <v>16</v>
      </c>
      <c r="H3" s="2" t="s">
        <v>17</v>
      </c>
      <c r="I3" s="5" t="s">
        <v>18</v>
      </c>
    </row>
    <row r="4" customFormat="false" ht="23.85" hidden="false" customHeight="false" outlineLevel="0" collapsed="false">
      <c r="A4" s="2" t="s">
        <v>19</v>
      </c>
      <c r="B4" s="2" t="s">
        <v>20</v>
      </c>
      <c r="C4" s="2" t="n">
        <v>1</v>
      </c>
      <c r="D4" s="3" t="n">
        <v>16.99</v>
      </c>
      <c r="E4" s="3" t="n">
        <f aca="false">C4*D4</f>
        <v>16.99</v>
      </c>
      <c r="F4" s="4" t="s">
        <v>11</v>
      </c>
      <c r="G4" s="2" t="s">
        <v>21</v>
      </c>
      <c r="H4" s="2" t="s">
        <v>22</v>
      </c>
      <c r="I4" s="5" t="s">
        <v>23</v>
      </c>
    </row>
    <row r="5" customFormat="false" ht="23.85" hidden="false" customHeight="false" outlineLevel="0" collapsed="false">
      <c r="A5" s="2" t="s">
        <v>24</v>
      </c>
      <c r="B5" s="2" t="s">
        <v>20</v>
      </c>
      <c r="C5" s="2" t="n">
        <v>1</v>
      </c>
      <c r="D5" s="3" t="n">
        <v>28.99</v>
      </c>
      <c r="E5" s="3" t="n">
        <f aca="false">C5*D5</f>
        <v>28.99</v>
      </c>
      <c r="F5" s="4" t="s">
        <v>11</v>
      </c>
      <c r="G5" s="2" t="s">
        <v>25</v>
      </c>
      <c r="H5" s="2" t="s">
        <v>26</v>
      </c>
      <c r="I5" s="5" t="s">
        <v>27</v>
      </c>
    </row>
    <row r="6" customFormat="false" ht="23.85" hidden="false" customHeight="false" outlineLevel="0" collapsed="false">
      <c r="A6" s="2" t="s">
        <v>28</v>
      </c>
      <c r="B6" s="2" t="s">
        <v>29</v>
      </c>
      <c r="C6" s="2" t="n">
        <v>1</v>
      </c>
      <c r="D6" s="3" t="n">
        <v>8.99</v>
      </c>
      <c r="E6" s="3" t="n">
        <f aca="false">C6*D6</f>
        <v>8.99</v>
      </c>
      <c r="F6" s="4" t="s">
        <v>11</v>
      </c>
      <c r="G6" s="2" t="s">
        <v>30</v>
      </c>
      <c r="H6" s="2" t="s">
        <v>31</v>
      </c>
      <c r="I6" s="5" t="s">
        <v>32</v>
      </c>
    </row>
    <row r="7" customFormat="false" ht="23.85" hidden="false" customHeight="false" outlineLevel="0" collapsed="false">
      <c r="A7" s="2" t="s">
        <v>33</v>
      </c>
      <c r="B7" s="2" t="s">
        <v>34</v>
      </c>
      <c r="C7" s="2" t="n">
        <v>1</v>
      </c>
      <c r="D7" s="3" t="n">
        <v>7.99</v>
      </c>
      <c r="E7" s="3" t="n">
        <f aca="false">C7*D7</f>
        <v>7.99</v>
      </c>
      <c r="F7" s="4" t="s">
        <v>11</v>
      </c>
      <c r="G7" s="2" t="s">
        <v>35</v>
      </c>
      <c r="H7" s="2" t="s">
        <v>36</v>
      </c>
      <c r="I7" s="5" t="s">
        <v>37</v>
      </c>
    </row>
    <row r="8" customFormat="false" ht="23.85" hidden="false" customHeight="false" outlineLevel="0" collapsed="false">
      <c r="A8" s="2" t="s">
        <v>38</v>
      </c>
      <c r="B8" s="2" t="s">
        <v>34</v>
      </c>
      <c r="C8" s="2" t="n">
        <v>1</v>
      </c>
      <c r="D8" s="3" t="n">
        <v>5.98</v>
      </c>
      <c r="E8" s="3" t="n">
        <f aca="false">C8*D8</f>
        <v>5.98</v>
      </c>
      <c r="F8" s="4" t="s">
        <v>11</v>
      </c>
      <c r="G8" s="2" t="s">
        <v>39</v>
      </c>
      <c r="H8" s="2" t="s">
        <v>40</v>
      </c>
      <c r="I8" s="5" t="s">
        <v>41</v>
      </c>
    </row>
    <row r="9" customFormat="false" ht="23.85" hidden="false" customHeight="false" outlineLevel="0" collapsed="false">
      <c r="A9" s="2" t="s">
        <v>42</v>
      </c>
      <c r="B9" s="2" t="s">
        <v>34</v>
      </c>
      <c r="C9" s="2" t="n">
        <v>1</v>
      </c>
      <c r="D9" s="3" t="n">
        <v>9.99</v>
      </c>
      <c r="E9" s="3" t="n">
        <f aca="false">C9*D9</f>
        <v>9.99</v>
      </c>
      <c r="F9" s="4" t="s">
        <v>11</v>
      </c>
      <c r="G9" s="2" t="s">
        <v>43</v>
      </c>
      <c r="H9" s="2" t="s">
        <v>44</v>
      </c>
      <c r="I9" s="5" t="s">
        <v>45</v>
      </c>
    </row>
    <row r="10" customFormat="false" ht="23.85" hidden="false" customHeight="false" outlineLevel="0" collapsed="false">
      <c r="A10" s="2" t="s">
        <v>46</v>
      </c>
      <c r="B10" s="2" t="s">
        <v>47</v>
      </c>
      <c r="C10" s="2" t="n">
        <v>1</v>
      </c>
      <c r="D10" s="3" t="n">
        <v>16.99</v>
      </c>
      <c r="E10" s="3" t="n">
        <f aca="false">C10*D10</f>
        <v>16.99</v>
      </c>
      <c r="F10" s="4" t="s">
        <v>11</v>
      </c>
      <c r="G10" s="2" t="s">
        <v>48</v>
      </c>
      <c r="H10" s="2" t="s">
        <v>49</v>
      </c>
      <c r="I10" s="5" t="s">
        <v>50</v>
      </c>
    </row>
    <row r="11" customFormat="false" ht="23.85" hidden="false" customHeight="false" outlineLevel="0" collapsed="false">
      <c r="A11" s="2" t="s">
        <v>51</v>
      </c>
      <c r="B11" s="2" t="s">
        <v>47</v>
      </c>
      <c r="C11" s="2" t="n">
        <v>1</v>
      </c>
      <c r="D11" s="3" t="n">
        <v>5</v>
      </c>
      <c r="E11" s="3" t="n">
        <f aca="false">C11*D11</f>
        <v>5</v>
      </c>
      <c r="F11" s="6" t="s">
        <v>52</v>
      </c>
      <c r="G11" s="2" t="s">
        <v>53</v>
      </c>
      <c r="H11" s="2" t="s">
        <v>54</v>
      </c>
      <c r="I11" s="7"/>
    </row>
    <row r="12" customFormat="false" ht="23.85" hidden="false" customHeight="false" outlineLevel="0" collapsed="false">
      <c r="A12" s="2" t="s">
        <v>55</v>
      </c>
      <c r="B12" s="2" t="s">
        <v>47</v>
      </c>
      <c r="C12" s="2" t="n">
        <v>1</v>
      </c>
      <c r="D12" s="3" t="n">
        <v>0</v>
      </c>
      <c r="E12" s="3" t="n">
        <f aca="false">C12*D12</f>
        <v>0</v>
      </c>
      <c r="F12" s="8" t="s">
        <v>56</v>
      </c>
      <c r="G12" s="2" t="s">
        <v>57</v>
      </c>
      <c r="H12" s="2" t="s">
        <v>58</v>
      </c>
      <c r="I12" s="7"/>
    </row>
    <row r="13" customFormat="false" ht="15" hidden="false" customHeight="false" outlineLevel="0" collapsed="false">
      <c r="A13" s="2" t="s">
        <v>59</v>
      </c>
      <c r="B13" s="2" t="s">
        <v>29</v>
      </c>
      <c r="C13" s="2" t="n">
        <v>1</v>
      </c>
      <c r="D13" s="3" t="n">
        <v>0</v>
      </c>
      <c r="E13" s="3" t="n">
        <f aca="false">C13*D13</f>
        <v>0</v>
      </c>
      <c r="F13" s="8" t="s">
        <v>56</v>
      </c>
      <c r="G13" s="2" t="s">
        <v>60</v>
      </c>
      <c r="H13" s="2" t="s">
        <v>61</v>
      </c>
      <c r="I13" s="7"/>
    </row>
    <row r="14" customFormat="false" ht="23.85" hidden="false" customHeight="false" outlineLevel="0" collapsed="false">
      <c r="A14" s="2" t="s">
        <v>62</v>
      </c>
      <c r="B14" s="2" t="s">
        <v>29</v>
      </c>
      <c r="C14" s="2" t="n">
        <v>1</v>
      </c>
      <c r="D14" s="3" t="n">
        <v>0</v>
      </c>
      <c r="E14" s="3" t="n">
        <f aca="false">C14*D14</f>
        <v>0</v>
      </c>
      <c r="F14" s="8" t="s">
        <v>56</v>
      </c>
      <c r="G14" s="2" t="s">
        <v>63</v>
      </c>
      <c r="H14" s="2"/>
      <c r="I14" s="7"/>
    </row>
    <row r="15" customFormat="false" ht="23.85" hidden="false" customHeight="false" outlineLevel="0" collapsed="false">
      <c r="A15" s="2" t="s">
        <v>64</v>
      </c>
      <c r="B15" s="2" t="s">
        <v>65</v>
      </c>
      <c r="C15" s="2" t="n">
        <v>1</v>
      </c>
      <c r="D15" s="3" t="n">
        <v>0</v>
      </c>
      <c r="E15" s="3" t="n">
        <f aca="false">C15*D15</f>
        <v>0</v>
      </c>
      <c r="F15" s="8" t="s">
        <v>56</v>
      </c>
      <c r="G15" s="2" t="s">
        <v>66</v>
      </c>
      <c r="H15" s="2" t="s">
        <v>67</v>
      </c>
      <c r="I15" s="7"/>
    </row>
    <row r="17" customFormat="false" ht="15" hidden="false" customHeight="false" outlineLevel="0" collapsed="false">
      <c r="D17" s="9" t="s">
        <v>11</v>
      </c>
      <c r="E17" s="10" t="n">
        <f aca="false">SUMIFS(E2:E15,F2:F15,"In cart")</f>
        <v>123.62</v>
      </c>
    </row>
    <row r="18" customFormat="false" ht="15" hidden="false" customHeight="false" outlineLevel="0" collapsed="false">
      <c r="D18" s="9" t="s">
        <v>68</v>
      </c>
      <c r="E18" s="10" t="n">
        <f aca="false">SUMIFS(E2:E15,F2:F15,"To buy")</f>
        <v>5</v>
      </c>
    </row>
    <row r="19" customFormat="false" ht="15" hidden="false" customHeight="false" outlineLevel="0" collapsed="false">
      <c r="D19" s="9" t="s">
        <v>69</v>
      </c>
      <c r="E19" s="10" t="n">
        <f aca="false">E17+E18</f>
        <v>128.62</v>
      </c>
    </row>
    <row r="21" customFormat="false" ht="15" hidden="false" customHeight="false" outlineLevel="0" collapsed="false">
      <c r="A21" s="11" t="s">
        <v>70</v>
      </c>
    </row>
  </sheetData>
  <hyperlinks>
    <hyperlink ref="I2" r:id="rId1" display="https://www.amazon.com/gp/product/B0912M3T1H"/>
    <hyperlink ref="I3" r:id="rId2" display="https://www.amazon.com/gp/product/B0F1FKQ1WY"/>
    <hyperlink ref="I4" r:id="rId3" display="https://www.amazon.com/gp/product/B0BYD9M1P3"/>
    <hyperlink ref="I5" r:id="rId4" display="https://www.amazon.com/gp/product/B0BWJ26PX2"/>
    <hyperlink ref="I6" r:id="rId5" display="https://www.amazon.com/gp/product/B01HLUZQ3M"/>
    <hyperlink ref="I7" r:id="rId6" display="https://www.amazon.com/gp/product/B083JWJPW5"/>
    <hyperlink ref="I8" r:id="rId7" display="https://www.amazon.com/gp/product/B0FDFYYC1X"/>
    <hyperlink ref="I9" r:id="rId8" display="https://www.amazon.com/gp/product/B082FCRQS2"/>
    <hyperlink ref="I10" r:id="rId9" display="https://www.amazon.com/gp/product/B07PBQXQN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</row>
    <row r="2" customFormat="false" ht="23.85" hidden="false" customHeight="false" outlineLevel="0" collapsed="false">
      <c r="A2" s="2" t="s">
        <v>76</v>
      </c>
      <c r="B2" s="2" t="s">
        <v>77</v>
      </c>
      <c r="C2" s="2" t="s">
        <v>78</v>
      </c>
      <c r="D2" s="2" t="s">
        <v>79</v>
      </c>
      <c r="E2" s="2" t="n">
        <v>1</v>
      </c>
      <c r="F2" s="2" t="s">
        <v>80</v>
      </c>
    </row>
    <row r="3" customFormat="false" ht="15" hidden="false" customHeight="false" outlineLevel="0" collapsed="false">
      <c r="A3" s="2" t="s">
        <v>81</v>
      </c>
      <c r="B3" s="2" t="s">
        <v>77</v>
      </c>
      <c r="C3" s="2" t="s">
        <v>82</v>
      </c>
      <c r="D3" s="2" t="s">
        <v>79</v>
      </c>
      <c r="E3" s="2" t="n">
        <v>1</v>
      </c>
      <c r="F3" s="2" t="s">
        <v>83</v>
      </c>
    </row>
    <row r="4" customFormat="false" ht="15" hidden="false" customHeight="false" outlineLevel="0" collapsed="false">
      <c r="A4" s="2" t="s">
        <v>84</v>
      </c>
      <c r="B4" s="2" t="s">
        <v>85</v>
      </c>
      <c r="C4" s="2" t="s">
        <v>86</v>
      </c>
      <c r="D4" s="2" t="s">
        <v>87</v>
      </c>
      <c r="E4" s="2" t="n">
        <v>1</v>
      </c>
      <c r="F4" s="2" t="s">
        <v>88</v>
      </c>
    </row>
    <row r="5" customFormat="false" ht="15" hidden="false" customHeight="false" outlineLevel="0" collapsed="false">
      <c r="A5" s="2" t="s">
        <v>89</v>
      </c>
      <c r="B5" s="2" t="s">
        <v>85</v>
      </c>
      <c r="C5" s="2" t="s">
        <v>90</v>
      </c>
      <c r="D5" s="2" t="s">
        <v>87</v>
      </c>
      <c r="E5" s="2" t="n">
        <v>1</v>
      </c>
      <c r="F5" s="2" t="s">
        <v>91</v>
      </c>
    </row>
    <row r="6" customFormat="false" ht="15" hidden="false" customHeight="false" outlineLevel="0" collapsed="false">
      <c r="A6" s="2" t="s">
        <v>92</v>
      </c>
      <c r="B6" s="2" t="s">
        <v>93</v>
      </c>
      <c r="C6" s="2" t="s">
        <v>94</v>
      </c>
      <c r="D6" s="2" t="s">
        <v>87</v>
      </c>
      <c r="E6" s="2" t="n">
        <v>1</v>
      </c>
      <c r="F6" s="2" t="s">
        <v>95</v>
      </c>
    </row>
    <row r="7" customFormat="false" ht="15" hidden="false" customHeight="false" outlineLevel="0" collapsed="false">
      <c r="A7" s="2" t="s">
        <v>96</v>
      </c>
      <c r="B7" s="2" t="s">
        <v>93</v>
      </c>
      <c r="C7" s="2" t="s">
        <v>90</v>
      </c>
      <c r="D7" s="2" t="s">
        <v>87</v>
      </c>
      <c r="E7" s="2" t="n">
        <v>1</v>
      </c>
      <c r="F7" s="2" t="s">
        <v>91</v>
      </c>
    </row>
    <row r="8" customFormat="false" ht="23.85" hidden="false" customHeight="false" outlineLevel="0" collapsed="false">
      <c r="A8" s="2" t="s">
        <v>97</v>
      </c>
      <c r="B8" s="2" t="s">
        <v>98</v>
      </c>
      <c r="C8" s="2" t="s">
        <v>99</v>
      </c>
      <c r="D8" s="2" t="s">
        <v>87</v>
      </c>
      <c r="E8" s="2" t="n">
        <v>1</v>
      </c>
      <c r="F8" s="2" t="s">
        <v>100</v>
      </c>
    </row>
    <row r="10" customFormat="false" ht="15" hidden="false" customHeight="false" outlineLevel="0" collapsed="false">
      <c r="D10" s="9" t="s">
        <v>101</v>
      </c>
      <c r="E10" s="9" t="n">
        <f aca="false">SUMIFS(E2:E8,D2:D8,"MG996R")</f>
        <v>2</v>
      </c>
    </row>
    <row r="11" customFormat="false" ht="15" hidden="false" customHeight="false" outlineLevel="0" collapsed="false">
      <c r="D11" s="9" t="s">
        <v>102</v>
      </c>
      <c r="E11" s="9" t="n">
        <f aca="false">SUMIFS(E2:E8,D2:D8,"MG90S")</f>
        <v>5</v>
      </c>
    </row>
    <row r="12" customFormat="false" ht="15" hidden="false" customHeight="false" outlineLevel="0" collapsed="false">
      <c r="D12" s="9" t="s">
        <v>103</v>
      </c>
      <c r="E12" s="9" t="n">
        <f aca="false">SUM(E2:E8)</f>
        <v>7</v>
      </c>
    </row>
    <row r="14" customFormat="false" ht="15" hidden="false" customHeight="false" outlineLevel="0" collapsed="false">
      <c r="A14" s="1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2026-09-30T23:35:52Z</dcterms:created>
  <dc:creator>openpyxl</dc:creator>
  <dc:description/>
  <dc:language>en-US</dc:language>
  <cp:lastModifiedBy/>
  <dcterms:modified xsi:type="dcterms:W3CDTF">2026-09-30T23:35:52Z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